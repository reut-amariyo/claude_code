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agram" sheetId="1" state="visible" r:id="rId1"/>
    <sheet xmlns:r="http://schemas.openxmlformats.org/officeDocument/2006/relationships" name="LinkedIn" sheetId="2" state="visible" r:id="rId2"/>
    <sheet xmlns:r="http://schemas.openxmlformats.org/officeDocument/2006/relationships" name="Funnel"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name val="Arial"/>
      <b val="1"/>
      <sz val="14"/>
    </font>
    <font>
      <name val="Arial"/>
      <b val="1"/>
      <color rgb="00FFFFFF"/>
      <sz val="11"/>
    </font>
    <font>
      <name val="Arial"/>
      <sz val="11"/>
    </font>
    <font>
      <name val="Arial"/>
      <color rgb="000000FF"/>
      <sz val="11"/>
    </font>
    <font>
      <name val="Arial"/>
      <b val="1"/>
      <sz val="11"/>
    </font>
    <font>
      <name val="Arial"/>
      <i val="1"/>
      <color rgb="00808080"/>
      <sz val="9"/>
    </font>
  </fonts>
  <fills count="8">
    <fill>
      <patternFill/>
    </fill>
    <fill>
      <patternFill patternType="gray125"/>
    </fill>
    <fill>
      <patternFill patternType="solid">
        <fgColor rgb="001F3864"/>
      </patternFill>
    </fill>
    <fill>
      <patternFill patternType="solid">
        <fgColor rgb="007B2E2E"/>
      </patternFill>
    </fill>
    <fill>
      <patternFill patternType="solid">
        <fgColor rgb="00FFFF00"/>
      </patternFill>
    </fill>
    <fill>
      <patternFill patternType="solid">
        <fgColor rgb="000A5C36"/>
      </patternFill>
    </fill>
    <fill>
      <patternFill patternType="solid">
        <fgColor rgb="00E7F0F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pivotButton="0" quotePrefix="0" xfId="0"/>
    <xf numFmtId="164" fontId="4" fillId="0" borderId="1" applyAlignment="1" pivotButton="0" quotePrefix="0" xfId="0">
      <alignment horizontal="center"/>
    </xf>
    <xf numFmtId="164" fontId="3" fillId="0" borderId="1" applyAlignment="1" pivotButton="0" quotePrefix="0" xfId="0">
      <alignment horizontal="center"/>
    </xf>
    <xf numFmtId="10" fontId="3" fillId="0" borderId="1" applyAlignment="1" pivotButton="0" quotePrefix="0" xfId="0">
      <alignment horizontal="center"/>
    </xf>
    <xf numFmtId="164" fontId="4" fillId="4" borderId="1" applyAlignment="1" pivotButton="0" quotePrefix="0" xfId="0">
      <alignment horizontal="center"/>
    </xf>
    <xf numFmtId="165" fontId="4" fillId="0" borderId="1" applyAlignment="1" pivotButton="0" quotePrefix="0" xfId="0">
      <alignment horizontal="center"/>
    </xf>
    <xf numFmtId="165" fontId="3" fillId="0" borderId="1" applyAlignment="1" pivotButton="0" quotePrefix="0" xfId="0">
      <alignment horizontal="center"/>
    </xf>
    <xf numFmtId="0" fontId="5" fillId="0" borderId="1" pivotButton="0" quotePrefix="0" xfId="0"/>
    <xf numFmtId="164" fontId="5" fillId="0" borderId="1" applyAlignment="1" pivotButton="0" quotePrefix="0" xfId="0">
      <alignment horizontal="center"/>
    </xf>
    <xf numFmtId="10" fontId="5" fillId="0" borderId="1" applyAlignment="1" pivotButton="0" quotePrefix="0" xfId="0">
      <alignment horizontal="center"/>
    </xf>
    <xf numFmtId="165" fontId="5" fillId="0" borderId="1" applyAlignment="1" pivotButton="0" quotePrefix="0" xfId="0">
      <alignment horizontal="center"/>
    </xf>
    <xf numFmtId="0" fontId="6" fillId="0" borderId="0" pivotButton="0" quotePrefix="0" xfId="0"/>
    <xf numFmtId="0" fontId="2" fillId="2" borderId="1" applyAlignment="1" pivotButton="0" quotePrefix="0" xfId="0">
      <alignment horizontal="center" vertical="center"/>
    </xf>
    <xf numFmtId="0" fontId="2" fillId="5" borderId="1" applyAlignment="1" pivotButton="0" quotePrefix="0" xfId="0">
      <alignment horizontal="center" vertical="center" wrapText="1"/>
    </xf>
    <xf numFmtId="10" fontId="3" fillId="6" borderId="1" applyAlignment="1" pivotButton="0" quotePrefix="0" xfId="0">
      <alignment horizontal="center"/>
    </xf>
    <xf numFmtId="165" fontId="3" fillId="6" borderId="1" applyAlignment="1" pivotButton="0" quotePrefix="0" xfId="0">
      <alignment horizontal="center"/>
    </xf>
    <xf numFmtId="164" fontId="3" fillId="7" borderId="1" applyAlignment="1" pivotButton="0" quotePrefix="0" xfId="0">
      <alignment horizontal="center"/>
    </xf>
    <xf numFmtId="0" fontId="5"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5"/>
  <cols>
    <col width="18" customWidth="1" min="1" max="1"/>
    <col width="15" customWidth="1" min="2" max="2"/>
    <col width="16" customWidth="1" min="3" max="3"/>
    <col width="14" customWidth="1" min="4" max="4"/>
    <col width="13" customWidth="1" min="5" max="5"/>
    <col width="14" customWidth="1" min="6" max="6"/>
    <col width="15" customWidth="1" min="7" max="7"/>
    <col width="12" customWidth="1" min="8" max="8"/>
    <col width="11" customWidth="1" min="9" max="9"/>
    <col width="15" customWidth="1" min="10" max="10"/>
    <col width="12" customWidth="1" min="11" max="11"/>
  </cols>
  <sheetData>
    <row r="1">
      <c r="A1" s="1" t="inlineStr">
        <is>
          <t>Instagram</t>
        </is>
      </c>
    </row>
    <row r="3" ht="34" customHeight="1">
      <c r="A3" s="2" t="inlineStr">
        <is>
          <t>Month</t>
        </is>
      </c>
      <c r="B3" s="2" t="inlineStr">
        <is>
          <t>Posts published</t>
        </is>
      </c>
      <c r="C3" s="2" t="inlineStr">
        <is>
          <t>Avg views per post</t>
        </is>
      </c>
      <c r="D3" s="2" t="inlineStr">
        <is>
          <t>Total views</t>
        </is>
      </c>
      <c r="E3" s="2" t="inlineStr">
        <is>
          <t>Profile visits</t>
        </is>
      </c>
      <c r="F3" s="2" t="inlineStr">
        <is>
          <t>Profile visits %</t>
        </is>
      </c>
      <c r="G3" s="2" t="inlineStr">
        <is>
          <t>New followers (gross)</t>
        </is>
      </c>
      <c r="H3" s="3" t="inlineStr">
        <is>
          <t>Unfollows</t>
        </is>
      </c>
      <c r="I3" s="3" t="inlineStr">
        <is>
          <t>Churn %</t>
        </is>
      </c>
      <c r="J3" s="2" t="inlineStr">
        <is>
          <t>Net new followers</t>
        </is>
      </c>
      <c r="K3" s="2" t="inlineStr">
        <is>
          <t>Followers %</t>
        </is>
      </c>
    </row>
    <row r="4" ht="22" customHeight="1">
      <c r="A4" s="4" t="inlineStr">
        <is>
          <t>May 2026</t>
        </is>
      </c>
      <c r="B4" s="5" t="n">
        <v>69</v>
      </c>
      <c r="C4" s="6">
        <f>IFERROR(D4/B4,"")</f>
        <v/>
      </c>
      <c r="D4" s="5" t="n">
        <v>3500000</v>
      </c>
      <c r="E4" s="5" t="n">
        <v>38137</v>
      </c>
      <c r="F4" s="7">
        <f>IFERROR(E4/D4,"")</f>
        <v/>
      </c>
      <c r="G4" s="8" t="n"/>
      <c r="H4" s="8" t="n"/>
      <c r="I4" s="9" t="n">
        <v>0.34</v>
      </c>
      <c r="J4" s="5" t="n">
        <v>3163</v>
      </c>
      <c r="K4" s="10">
        <f>IFERROR(J4/E4,"")</f>
        <v/>
      </c>
    </row>
    <row r="5" ht="22" customHeight="1">
      <c r="A5" s="4" t="inlineStr">
        <is>
          <t>June 2026</t>
        </is>
      </c>
      <c r="B5" s="5" t="n">
        <v>59</v>
      </c>
      <c r="C5" s="6">
        <f>IFERROR(D5/B5,"")</f>
        <v/>
      </c>
      <c r="D5" s="5" t="n">
        <v>2441469</v>
      </c>
      <c r="E5" s="5" t="n">
        <v>35410</v>
      </c>
      <c r="F5" s="7">
        <f>IFERROR(E5/D5,"")</f>
        <v/>
      </c>
      <c r="G5" s="5" t="n">
        <v>6447</v>
      </c>
      <c r="H5" s="5" t="n">
        <v>1707</v>
      </c>
      <c r="I5" s="10">
        <f>IFERROR(H5/G5,"")</f>
        <v/>
      </c>
      <c r="J5" s="5" t="n">
        <v>4740</v>
      </c>
      <c r="K5" s="10">
        <f>IFERROR(J5/E5,"")</f>
        <v/>
      </c>
    </row>
    <row r="6" ht="22" customHeight="1">
      <c r="A6" s="4" t="inlineStr">
        <is>
          <t>July 2026</t>
        </is>
      </c>
      <c r="B6" s="5" t="n">
        <v>114</v>
      </c>
      <c r="C6" s="6">
        <f>IFERROR(D6/B6,"")</f>
        <v/>
      </c>
      <c r="D6" s="5" t="n">
        <v>4100000</v>
      </c>
      <c r="E6" s="5" t="n">
        <v>65463</v>
      </c>
      <c r="F6" s="7">
        <f>IFERROR(E6/D6,"")</f>
        <v/>
      </c>
      <c r="G6" s="5" t="n">
        <v>26300</v>
      </c>
      <c r="H6" s="5" t="n">
        <v>2100</v>
      </c>
      <c r="I6" s="10">
        <f>IFERROR(H6/G6,"")</f>
        <v/>
      </c>
      <c r="J6" s="5" t="n">
        <v>24354</v>
      </c>
      <c r="K6" s="10">
        <f>IFERROR(J6/E6,"")</f>
        <v/>
      </c>
    </row>
    <row r="7" ht="22" customHeight="1">
      <c r="A7" s="4" t="inlineStr">
        <is>
          <t>August 2026 (1-19)</t>
        </is>
      </c>
      <c r="B7" s="5" t="n">
        <v>101</v>
      </c>
      <c r="C7" s="6">
        <f>IFERROR(D7/B7,"")</f>
        <v/>
      </c>
      <c r="D7" s="8" t="n"/>
      <c r="E7" s="8" t="n"/>
      <c r="F7" s="7">
        <f>IFERROR(E7/D7,"")</f>
        <v/>
      </c>
      <c r="G7" s="8" t="n"/>
      <c r="H7" s="8" t="n"/>
      <c r="I7" s="10">
        <f>IFERROR(H7/G7,"")</f>
        <v/>
      </c>
      <c r="J7" s="8" t="n"/>
      <c r="K7" s="10">
        <f>IFERROR(J7/E7,"")</f>
        <v/>
      </c>
    </row>
    <row r="8">
      <c r="A8" s="11" t="inlineStr">
        <is>
          <t>Total</t>
        </is>
      </c>
      <c r="B8" s="12">
        <f>SUM(B4:B7)</f>
        <v/>
      </c>
      <c r="C8" s="12">
        <f>IFERROR(D8/B8,"")</f>
        <v/>
      </c>
      <c r="D8" s="12">
        <f>SUM(D4:D7)</f>
        <v/>
      </c>
      <c r="E8" s="12">
        <f>SUM(E4:E7)</f>
        <v/>
      </c>
      <c r="F8" s="13">
        <f>IFERROR(E8/D8,"")</f>
        <v/>
      </c>
      <c r="G8" s="12">
        <f>SUM(G4:G7)</f>
        <v/>
      </c>
      <c r="H8" s="12">
        <f>SUM(H4:H7)</f>
        <v/>
      </c>
      <c r="I8" s="14">
        <f>IFERROR(H8/G8,"")</f>
        <v/>
      </c>
      <c r="J8" s="12">
        <f>SUM(J4:J7)</f>
        <v/>
      </c>
      <c r="K8" s="14">
        <f>IFERROR(J8/E8,"")</f>
        <v/>
      </c>
    </row>
    <row r="10">
      <c r="A10" s="15" t="inlineStr">
        <is>
          <t>CHURN = unfollows divided by gross new followers in the same month.
May's 34% is the figure stated in the May 2026 Monthly Review deck; that deck did not record the underlying follows and unfollows, so those two cells stay empty. June is exact (6,447 follows / 1,707 unfollows). July's 2,100 unfollows is Instagram's rounded ~2.1K over the Jul 5 - Aug 3 window.
The trend across the year: March 91%, April-May combined 44%, May 34%, June 26%, July 8%. Churn has fallen every month while volume rose, so the growth is holding, not churning through.
Posts published = reels + feed posts, counted per month via the Metricool API on 2026-08-19. The method checks out: it returns 97 reels + 17 posts for July, exactly matching Instagram's own July recap. By month: May 60 reels + 9 posts, June 52 + 7, July 97 + 17, August 1-19: 90 + 11.
Views, profile visits and followers are Instagram's own numbers (May review deck, June dashboard, July official recap).
Yellow = August views, profile visits and followers. The IG web dashboard has no custom date range, only 7/14/30/90 days, so Aug 1-19 needs the IG app. For reference, from IG web on 2026-08-19, rolling last 30 days (Jul 21 - Aug 19, overlaps July): views 3,278,132 / profile visits 50,721 / total followers 100,601. Against the Aug 4 reading of 95,635 that is roughly +5,000 followers so far in August.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18" customWidth="1" min="1" max="1"/>
    <col width="15" customWidth="1" min="2" max="2"/>
    <col width="16" customWidth="1" min="3" max="3"/>
    <col width="14" customWidth="1" min="4" max="4"/>
    <col width="13" customWidth="1" min="5" max="5"/>
    <col width="14" customWidth="1" min="6" max="6"/>
    <col width="14" customWidth="1" min="7" max="7"/>
    <col width="12" customWidth="1" min="8" max="8"/>
  </cols>
  <sheetData>
    <row r="1">
      <c r="A1" s="1" t="inlineStr">
        <is>
          <t>LinkedIn</t>
        </is>
      </c>
    </row>
    <row r="3" ht="34" customHeight="1">
      <c r="A3" s="2" t="inlineStr">
        <is>
          <t>Month</t>
        </is>
      </c>
      <c r="B3" s="2" t="inlineStr">
        <is>
          <t>Posts published</t>
        </is>
      </c>
      <c r="C3" s="2" t="inlineStr">
        <is>
          <t>Avg views per post</t>
        </is>
      </c>
      <c r="D3" s="2" t="inlineStr">
        <is>
          <t>Impressions</t>
        </is>
      </c>
      <c r="E3" s="2" t="inlineStr">
        <is>
          <t>Profile visits</t>
        </is>
      </c>
      <c r="F3" s="2" t="inlineStr">
        <is>
          <t>Profile visits %</t>
        </is>
      </c>
      <c r="G3" s="2" t="inlineStr">
        <is>
          <t>New followers</t>
        </is>
      </c>
      <c r="H3" s="2" t="inlineStr">
        <is>
          <t>Followers %</t>
        </is>
      </c>
    </row>
    <row r="4" ht="22" customHeight="1">
      <c r="A4" s="4" t="inlineStr">
        <is>
          <t>May 2026</t>
        </is>
      </c>
      <c r="B4" s="5" t="n">
        <v>15</v>
      </c>
      <c r="C4" s="6">
        <f>IFERROR(D4/B4,"")</f>
        <v/>
      </c>
      <c r="D4" s="5" t="n">
        <v>292705</v>
      </c>
      <c r="E4" s="8" t="n"/>
      <c r="F4" s="7">
        <f>IFERROR(E4/D4,"")</f>
        <v/>
      </c>
      <c r="G4" s="5" t="n">
        <v>1100</v>
      </c>
      <c r="H4" s="10">
        <f>IFERROR(G4/E4,"")</f>
        <v/>
      </c>
    </row>
    <row r="5" ht="22" customHeight="1">
      <c r="A5" s="4" t="inlineStr">
        <is>
          <t>June 2026</t>
        </is>
      </c>
      <c r="B5" s="5" t="n">
        <v>13</v>
      </c>
      <c r="C5" s="6">
        <f>IFERROR(D5/B5,"")</f>
        <v/>
      </c>
      <c r="D5" s="5" t="n">
        <v>51839</v>
      </c>
      <c r="E5" s="5" t="n">
        <v>1136</v>
      </c>
      <c r="F5" s="7">
        <f>IFERROR(E5/D5,"")</f>
        <v/>
      </c>
      <c r="G5" s="5" t="n">
        <v>1009</v>
      </c>
      <c r="H5" s="10">
        <f>IFERROR(G5/E5,"")</f>
        <v/>
      </c>
    </row>
    <row r="6" ht="22" customHeight="1">
      <c r="A6" s="4" t="inlineStr">
        <is>
          <t>July 2026</t>
        </is>
      </c>
      <c r="B6" s="5" t="n">
        <v>18</v>
      </c>
      <c r="C6" s="6">
        <f>IFERROR(D6/B6,"")</f>
        <v/>
      </c>
      <c r="D6" s="5" t="n">
        <v>71776</v>
      </c>
      <c r="E6" s="5" t="n">
        <v>1204</v>
      </c>
      <c r="F6" s="7">
        <f>IFERROR(E6/D6,"")</f>
        <v/>
      </c>
      <c r="G6" s="5" t="n">
        <v>821</v>
      </c>
      <c r="H6" s="10">
        <f>IFERROR(G6/E6,"")</f>
        <v/>
      </c>
    </row>
    <row r="7" ht="22" customHeight="1">
      <c r="A7" s="4" t="inlineStr">
        <is>
          <t>August 2026 (1-19)</t>
        </is>
      </c>
      <c r="B7" s="8" t="n"/>
      <c r="C7" s="6">
        <f>IFERROR(D7/B7,"")</f>
        <v/>
      </c>
      <c r="D7" s="5" t="n">
        <v>55759</v>
      </c>
      <c r="E7" s="5" t="n">
        <v>578</v>
      </c>
      <c r="F7" s="7">
        <f>IFERROR(E7/D7,"")</f>
        <v/>
      </c>
      <c r="G7" s="5" t="n">
        <v>740</v>
      </c>
      <c r="H7" s="10">
        <f>IFERROR(G7/E7,"")</f>
        <v/>
      </c>
    </row>
    <row r="8">
      <c r="A8" s="11" t="inlineStr">
        <is>
          <t>Total</t>
        </is>
      </c>
      <c r="B8" s="12">
        <f>SUM(B4:B7)</f>
        <v/>
      </c>
      <c r="C8" s="12">
        <f>IFERROR(D8/B8,"")</f>
        <v/>
      </c>
      <c r="D8" s="12">
        <f>SUM(D4:D7)</f>
        <v/>
      </c>
      <c r="E8" s="12">
        <f>SUM(E4:E7)</f>
        <v/>
      </c>
      <c r="F8" s="13">
        <f>IFERROR(E8/D8,"")</f>
        <v/>
      </c>
      <c r="G8" s="12">
        <f>SUM(G4:G7)</f>
        <v/>
      </c>
      <c r="H8" s="14">
        <f>IFERROR(G8/E8,"")</f>
        <v/>
      </c>
    </row>
    <row r="10">
      <c r="A10" s="15" t="inlineStr">
        <is>
          <t>LinkedIn does not report unfollows at all, so there is no churn column here.
POSTS PUBLISHED: counted manually by Reut (2026-08-20) - May 15, June 13, July 18. These are the figures to trust. Neither automated source is complete: Metricool stopped capturing most of Lior's LinkedIn posts around June 1, when the agency began posting natively, and our own performance log logged nothing between June 12 and July 3. August's count is still open.
August impressions and new followers pulled live from Creator Analytics, custom range Aug 1-19 (2026-08-19). Total followers that day: 12,115.
Profile visits are APPROXIMATE. LinkedIn only reports profile viewers as a 90-day chart in Thursday-start weekly buckets, so each month is the sum of the weeks falling inside it, give or take a week. May is not covered, the data only goes back to May 28. August covers Aug 6-19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The funnel: views -&gt; profile visits -&gt; followers</t>
        </is>
      </c>
    </row>
    <row r="2">
      <c r="A2" s="15" t="inlineStr">
        <is>
          <t>Every cell pulls from the Instagram and LinkedIn tabs. Nothing is typed in here.</t>
        </is>
      </c>
    </row>
    <row r="4" ht="36" customHeight="1">
      <c r="A4" s="16" t="inlineStr">
        <is>
          <t>Step</t>
        </is>
      </c>
      <c r="B4" s="2" t="inlineStr">
        <is>
          <t>Instagram
May</t>
        </is>
      </c>
      <c r="C4" s="2" t="inlineStr">
        <is>
          <t>Instagram
June</t>
        </is>
      </c>
      <c r="D4" s="2" t="inlineStr">
        <is>
          <t>Instagram
July</t>
        </is>
      </c>
      <c r="E4" s="2" t="inlineStr">
        <is>
          <t>Instagram
Aug 1-19</t>
        </is>
      </c>
      <c r="F4" s="17" t="inlineStr">
        <is>
          <t>LinkedIn
May</t>
        </is>
      </c>
      <c r="G4" s="17" t="inlineStr">
        <is>
          <t>LinkedIn
June</t>
        </is>
      </c>
      <c r="H4" s="17" t="inlineStr">
        <is>
          <t>LinkedIn
July</t>
        </is>
      </c>
      <c r="I4" s="17" t="inlineStr">
        <is>
          <t>LinkedIn
Aug 1-19</t>
        </is>
      </c>
    </row>
    <row r="5" ht="20" customHeight="1">
      <c r="A5" s="4" t="inlineStr">
        <is>
          <t>Views / impressions</t>
        </is>
      </c>
      <c r="B5" s="6">
        <f>IFERROR(Instagram!D4,"")</f>
        <v/>
      </c>
      <c r="C5" s="6">
        <f>IFERROR(Instagram!D5,"")</f>
        <v/>
      </c>
      <c r="D5" s="6">
        <f>IFERROR(Instagram!D6,"")</f>
        <v/>
      </c>
      <c r="E5" s="6">
        <f>IFERROR(Instagram!D7,"")</f>
        <v/>
      </c>
      <c r="F5" s="6">
        <f>IFERROR(LinkedIn!D4,"")</f>
        <v/>
      </c>
      <c r="G5" s="6">
        <f>IFERROR(LinkedIn!D5,"")</f>
        <v/>
      </c>
      <c r="H5" s="6">
        <f>IFERROR(LinkedIn!D6,"")</f>
        <v/>
      </c>
      <c r="I5" s="6">
        <f>IFERROR(LinkedIn!D7,"")</f>
        <v/>
      </c>
    </row>
    <row r="6" ht="20" customHeight="1">
      <c r="A6" s="4" t="inlineStr">
        <is>
          <t>Profile visits</t>
        </is>
      </c>
      <c r="B6" s="6">
        <f>IFERROR(Instagram!E4,"")</f>
        <v/>
      </c>
      <c r="C6" s="6">
        <f>IFERROR(Instagram!E5,"")</f>
        <v/>
      </c>
      <c r="D6" s="6">
        <f>IFERROR(Instagram!E6,"")</f>
        <v/>
      </c>
      <c r="E6" s="6">
        <f>IFERROR(Instagram!E7,"")</f>
        <v/>
      </c>
      <c r="F6" s="6">
        <f>IFERROR(LinkedIn!E4,"")</f>
        <v/>
      </c>
      <c r="G6" s="6">
        <f>IFERROR(LinkedIn!E5,"")</f>
        <v/>
      </c>
      <c r="H6" s="6">
        <f>IFERROR(LinkedIn!E6,"")</f>
        <v/>
      </c>
      <c r="I6" s="6">
        <f>IFERROR(LinkedIn!E7,"")</f>
        <v/>
      </c>
    </row>
    <row r="7" ht="20" customHeight="1">
      <c r="A7" s="11" t="inlineStr">
        <is>
          <t>View -&gt; profile visit</t>
        </is>
      </c>
      <c r="B7" s="18">
        <f>IFERROR(Instagram!E4/Instagram!D4,"")</f>
        <v/>
      </c>
      <c r="C7" s="18">
        <f>IFERROR(Instagram!E5/Instagram!D5,"")</f>
        <v/>
      </c>
      <c r="D7" s="18">
        <f>IFERROR(Instagram!E6/Instagram!D6,"")</f>
        <v/>
      </c>
      <c r="E7" s="18">
        <f>IFERROR(Instagram!E7/Instagram!D7,"")</f>
        <v/>
      </c>
      <c r="F7" s="18">
        <f>IFERROR(LinkedIn!E4/LinkedIn!D4,"")</f>
        <v/>
      </c>
      <c r="G7" s="18">
        <f>IFERROR(LinkedIn!E5/LinkedIn!D5,"")</f>
        <v/>
      </c>
      <c r="H7" s="18">
        <f>IFERROR(LinkedIn!E6/LinkedIn!D6,"")</f>
        <v/>
      </c>
      <c r="I7" s="18">
        <f>IFERROR(LinkedIn!E7/LinkedIn!D7,"")</f>
        <v/>
      </c>
    </row>
    <row r="8" ht="20" customHeight="1">
      <c r="A8" s="4" t="inlineStr">
        <is>
          <t>Net new followers</t>
        </is>
      </c>
      <c r="B8" s="6">
        <f>IFERROR(Instagram!J4,"")</f>
        <v/>
      </c>
      <c r="C8" s="6">
        <f>IFERROR(Instagram!J5,"")</f>
        <v/>
      </c>
      <c r="D8" s="6">
        <f>IFERROR(Instagram!J6,"")</f>
        <v/>
      </c>
      <c r="E8" s="6">
        <f>IFERROR(Instagram!J7,"")</f>
        <v/>
      </c>
      <c r="F8" s="6">
        <f>IFERROR(LinkedIn!G4,"")</f>
        <v/>
      </c>
      <c r="G8" s="6">
        <f>IFERROR(LinkedIn!G5,"")</f>
        <v/>
      </c>
      <c r="H8" s="6">
        <f>IFERROR(LinkedIn!G6,"")</f>
        <v/>
      </c>
      <c r="I8" s="6">
        <f>IFERROR(LinkedIn!G7,"")</f>
        <v/>
      </c>
    </row>
    <row r="9" ht="20" customHeight="1">
      <c r="A9" s="11" t="inlineStr">
        <is>
          <t>Profile visit -&gt; follower</t>
        </is>
      </c>
      <c r="B9" s="19">
        <f>IFERROR(Instagram!J4/Instagram!E4,"")</f>
        <v/>
      </c>
      <c r="C9" s="19">
        <f>IFERROR(Instagram!J5/Instagram!E5,"")</f>
        <v/>
      </c>
      <c r="D9" s="19">
        <f>IFERROR(Instagram!J6/Instagram!E6,"")</f>
        <v/>
      </c>
      <c r="E9" s="19">
        <f>IFERROR(Instagram!J7/Instagram!E7,"")</f>
        <v/>
      </c>
      <c r="F9" s="19">
        <f>IFERROR(LinkedIn!G4/LinkedIn!E4,"")</f>
        <v/>
      </c>
      <c r="G9" s="19">
        <f>IFERROR(LinkedIn!G5/LinkedIn!E5,"")</f>
        <v/>
      </c>
      <c r="H9" s="19">
        <f>IFERROR(LinkedIn!G6/LinkedIn!E6,"")</f>
        <v/>
      </c>
      <c r="I9" s="19">
        <f>IFERROR(LinkedIn!G7/LinkedIn!E7,"")</f>
        <v/>
      </c>
    </row>
    <row r="10" ht="20" customHeight="1">
      <c r="A10" s="11" t="inlineStr">
        <is>
          <t>View -&gt; follower</t>
        </is>
      </c>
      <c r="B10" s="18">
        <f>IFERROR(Instagram!J4/Instagram!D4,"")</f>
        <v/>
      </c>
      <c r="C10" s="18">
        <f>IFERROR(Instagram!J5/Instagram!D5,"")</f>
        <v/>
      </c>
      <c r="D10" s="18">
        <f>IFERROR(Instagram!J6/Instagram!D6,"")</f>
        <v/>
      </c>
      <c r="E10" s="18">
        <f>IFERROR(Instagram!J7/Instagram!D7,"")</f>
        <v/>
      </c>
      <c r="F10" s="18">
        <f>IFERROR(LinkedIn!G4/LinkedIn!D4,"")</f>
        <v/>
      </c>
      <c r="G10" s="18">
        <f>IFERROR(LinkedIn!G5/LinkedIn!D5,"")</f>
        <v/>
      </c>
      <c r="H10" s="18">
        <f>IFERROR(LinkedIn!G6/LinkedIn!D6,"")</f>
        <v/>
      </c>
      <c r="I10" s="18">
        <f>IFERROR(LinkedIn!G7/LinkedIn!D7,"")</f>
        <v/>
      </c>
    </row>
    <row r="11" ht="20" customHeight="1">
      <c r="A11" s="11" t="inlineStr">
        <is>
          <t>Views needed per 1 follower</t>
        </is>
      </c>
      <c r="B11" s="20">
        <f>IFERROR(Instagram!D4/Instagram!J4,"")</f>
        <v/>
      </c>
      <c r="C11" s="20">
        <f>IFERROR(Instagram!D5/Instagram!J5,"")</f>
        <v/>
      </c>
      <c r="D11" s="20">
        <f>IFERROR(Instagram!D6/Instagram!J6,"")</f>
        <v/>
      </c>
      <c r="E11" s="20">
        <f>IFERROR(Instagram!D7/Instagram!J7,"")</f>
        <v/>
      </c>
      <c r="F11" s="20">
        <f>IFERROR(LinkedIn!D4/LinkedIn!G4,"")</f>
        <v/>
      </c>
      <c r="G11" s="20">
        <f>IFERROR(LinkedIn!D5/LinkedIn!G5,"")</f>
        <v/>
      </c>
      <c r="H11" s="20">
        <f>IFERROR(LinkedIn!D6/LinkedIn!G6,"")</f>
        <v/>
      </c>
      <c r="I11" s="20">
        <f>IFERROR(LinkedIn!D7/LinkedIn!G7,"")</f>
        <v/>
      </c>
    </row>
    <row r="14">
      <c r="A14" s="21" t="inlineStr">
        <is>
          <t>Where LinkedIn's followers actually come from (checked 2026-08-19)</t>
        </is>
      </c>
    </row>
    <row r="15">
      <c r="A15" s="4" t="inlineStr">
        <is>
          <t>Total followers</t>
        </is>
      </c>
      <c r="B15" s="5" t="n">
        <v>12115</v>
      </c>
    </row>
    <row r="16">
      <c r="A16" s="4" t="inlineStr">
        <is>
          <t>of which connections</t>
        </is>
      </c>
      <c r="B16" s="5" t="n">
        <v>10555</v>
      </c>
    </row>
    <row r="17">
      <c r="A17" s="4" t="inlineStr">
        <is>
          <t>of which pure followers (never connected)</t>
        </is>
      </c>
      <c r="B17" s="5" t="n">
        <v>1560</v>
      </c>
    </row>
    <row r="18">
      <c r="A18" s="4" t="inlineStr">
        <is>
          <t>Invitations Lior has sent, still pending</t>
        </is>
      </c>
      <c r="B18" s="5" t="n">
        <v>251</v>
      </c>
    </row>
    <row r="19">
      <c r="A19" s="4" t="inlineStr">
        <is>
          <t>Invitations waiting for Lior to accept</t>
        </is>
      </c>
      <c r="B19" s="5" t="n">
        <v>1</v>
      </c>
    </row>
    <row r="20">
      <c r="A20" s="4" t="inlineStr">
        <is>
          <t>LinkedIn's hard cap on total connections</t>
        </is>
      </c>
      <c r="B20" s="5" t="n">
        <v>30000</v>
      </c>
    </row>
    <row r="22">
      <c r="A22" s="21" t="inlineStr">
        <is>
          <t>Reading the funnel</t>
        </is>
      </c>
    </row>
    <row r="23">
      <c r="A23" s="22" t="inlineStr">
        <is>
          <t>Step 1 is the same on both platforms. Roughly 1-2% of views become a profile visit, on Instagram and on LinkedIn alike.</t>
        </is>
      </c>
    </row>
    <row r="24">
      <c r="A24" s="22" t="inlineStr">
        <is>
          <t>The difference is the size of the top. Instagram sends about 50,000 people to the profile a month, LinkedIn about 1,200.</t>
        </is>
      </c>
    </row>
    <row r="25">
      <c r="A25" s="22" t="inlineStr"/>
    </row>
    <row r="26">
      <c r="A26" s="22" t="inlineStr">
        <is>
          <t>Step 2 is where LinkedIn looks impossible: profile visit to follower runs 68% to over 100%. A rate above 100% is the proof -</t>
        </is>
      </c>
    </row>
    <row r="27">
      <c r="A27" s="22" t="inlineStr">
        <is>
          <t>those followers are not arriving through the profile at all. They are accepted connection invitations. 10,555 of Lior's</t>
        </is>
      </c>
    </row>
    <row r="28">
      <c r="A28" s="22" t="inlineStr">
        <is>
          <t>12,115 followers are connections; only 1,560 people ever chose to follow him.</t>
        </is>
      </c>
    </row>
    <row r="29">
      <c r="A29" s="22" t="inlineStr"/>
    </row>
    <row r="30">
      <c r="A30" s="22" t="inlineStr">
        <is>
          <t>So the leak is not a conversion problem, it is a structural one. LinkedIn reach barely produces followers, and the</t>
        </is>
      </c>
    </row>
    <row r="31">
      <c r="A31" s="22" t="inlineStr">
        <is>
          <t>channel that does produce them, connections, is capped at 30,000. Getting to 100K means growing the 1,560 pure</t>
        </is>
      </c>
    </row>
    <row r="32">
      <c r="A32" s="22" t="inlineStr">
        <is>
          <t>followers, which is the one number nobody has been working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2026-08-20T09:34:52Z</dcterms:created>
  <dcterms:modified xmlns:dcterms="http://purl.org/dc/terms/" xmlns:xsi="http://www.w3.org/2001/XMLSchema-instance" xsi:type="dcterms:W3CDTF">2026-08-20T09:34:52Z</dcterms:modified>
</cp:coreProperties>
</file>